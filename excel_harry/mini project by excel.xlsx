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esha Jain\Desktop\Data Analyst\"/>
    </mc:Choice>
  </mc:AlternateContent>
  <xr:revisionPtr revIDLastSave="0" documentId="8_{F5309648-99E0-4AAD-850D-DE8A99FA7D64}" xr6:coauthVersionLast="47" xr6:coauthVersionMax="47" xr10:uidLastSave="{00000000-0000-0000-0000-000000000000}"/>
  <bookViews>
    <workbookView xWindow="-108" yWindow="-108" windowWidth="23256" windowHeight="12456" xr2:uid="{7123A630-48A6-4E3D-8265-23A5B24E0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" i="1" l="1"/>
  <c r="M19" i="1"/>
  <c r="M18" i="1"/>
  <c r="M17" i="1"/>
  <c r="M16" i="1"/>
  <c r="M1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M14" i="1"/>
</calcChain>
</file>

<file path=xl/sharedStrings.xml><?xml version="1.0" encoding="utf-8"?>
<sst xmlns="http://schemas.openxmlformats.org/spreadsheetml/2006/main" count="46" uniqueCount="31">
  <si>
    <t>sno</t>
  </si>
  <si>
    <t>name</t>
  </si>
  <si>
    <t>expenses</t>
  </si>
  <si>
    <t>category</t>
  </si>
  <si>
    <t>poha</t>
  </si>
  <si>
    <t>food</t>
  </si>
  <si>
    <t>tea</t>
  </si>
  <si>
    <t>pen</t>
  </si>
  <si>
    <t>stationary</t>
  </si>
  <si>
    <t>lunch</t>
  </si>
  <si>
    <t>snacks</t>
  </si>
  <si>
    <t>gift</t>
  </si>
  <si>
    <t>friends</t>
  </si>
  <si>
    <t>icecream</t>
  </si>
  <si>
    <t>medicine</t>
  </si>
  <si>
    <t>health</t>
  </si>
  <si>
    <t>t-shirt</t>
  </si>
  <si>
    <t>myself</t>
  </si>
  <si>
    <t>shoes</t>
  </si>
  <si>
    <t>glasses</t>
  </si>
  <si>
    <t>vicks</t>
  </si>
  <si>
    <t>fruits</t>
  </si>
  <si>
    <t>book</t>
  </si>
  <si>
    <t>dinner</t>
  </si>
  <si>
    <t>total for the day</t>
  </si>
  <si>
    <t>avg expense amount</t>
  </si>
  <si>
    <t>food expense</t>
  </si>
  <si>
    <t>stationary exp.</t>
  </si>
  <si>
    <t>friends exp.</t>
  </si>
  <si>
    <t>health exp.</t>
  </si>
  <si>
    <t>myself exp.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</si>
</sst>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3" borderId="7" xfId="0" applyFill="1" applyBorder="1"/>
    <xf numFmtId="0" fontId="0" fillId="2" borderId="3" xfId="0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2" borderId="5" xfId="0" applyFill="1" applyBorder="1"/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0" fontId="0" fillId="0" borderId="0" xfId="0" applyFont="1"/>
    <xf numFmtId="0" fontId="0" fillId="4" borderId="11" xfId="0" applyFill="1" applyBorder="1"/>
    <xf numFmtId="0" fontId="1" fillId="4" borderId="12" xfId="0" applyFont="1" applyFill="1" applyBorder="1" applyAlignment="1">
      <alignment horizontal="center"/>
    </xf>
    <xf numFmtId="0" fontId="0" fillId="4" borderId="13" xfId="0" applyFill="1" applyBorder="1"/>
    <xf numFmtId="0" fontId="1" fillId="4" borderId="9" xfId="0" applyFont="1" applyFill="1" applyBorder="1" applyAlignment="1">
      <alignment horizontal="center"/>
    </xf>
    <xf numFmtId="0" fontId="0" fillId="4" borderId="4" xfId="0" applyFill="1" applyBorder="1"/>
    <xf numFmtId="0" fontId="1" fillId="4" borderId="14" xfId="0" applyFont="1" applyFill="1" applyBorder="1" applyAlignment="1">
      <alignment horizontal="center"/>
    </xf>
    <xf numFmtId="0" fontId="0" fillId="4" borderId="15" xfId="0" applyFill="1" applyBorder="1"/>
    <xf numFmtId="0" fontId="0" fillId="3" borderId="2" xfId="0" applyFill="1" applyBorder="1"/>
    <xf numFmtId="0" fontId="0" fillId="2" borderId="4" xfId="0" applyFill="1" applyBorder="1"/>
    <xf numFmtId="0" fontId="0" fillId="2" borderId="6" xfId="0" applyFill="1" applyBorder="1"/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55A1-9287-48C8-85CF-056C8ADD8B25}">
  <dimension ref="A1:M22"/>
  <sheetViews>
    <sheetView tabSelected="1" workbookViewId="0">
      <selection activeCell="L11" sqref="L11"/>
    </sheetView>
  </sheetViews>
  <sheetFormatPr defaultRowHeight="14.4" x14ac:dyDescent="0.3"/>
  <cols>
    <col min="7" max="7" width="17.88671875" bestFit="1" customWidth="1"/>
    <col min="12" max="12" width="18.6640625" bestFit="1" customWidth="1"/>
  </cols>
  <sheetData>
    <row r="1" spans="1:13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5</v>
      </c>
      <c r="F1" s="3" t="s">
        <v>8</v>
      </c>
      <c r="G1" s="3" t="s">
        <v>12</v>
      </c>
      <c r="H1" s="3" t="s">
        <v>15</v>
      </c>
      <c r="I1" s="18" t="s">
        <v>17</v>
      </c>
    </row>
    <row r="2" spans="1:13" x14ac:dyDescent="0.3">
      <c r="A2" s="4">
        <v>1</v>
      </c>
      <c r="B2" s="5" t="s">
        <v>4</v>
      </c>
      <c r="C2" s="6">
        <v>15</v>
      </c>
      <c r="D2" s="6" t="s">
        <v>5</v>
      </c>
      <c r="E2" s="6">
        <f>COUNTIF(D2,"food") *C2</f>
        <v>15</v>
      </c>
      <c r="F2" s="6">
        <f>COUNTIF(D2,"stationary") *C2</f>
        <v>0</v>
      </c>
      <c r="G2" s="6">
        <f>COUNTIF(D2,"friends") *C2</f>
        <v>0</v>
      </c>
      <c r="H2" s="6">
        <f>COUNTIF(D2,"health")*C2</f>
        <v>0</v>
      </c>
      <c r="I2" s="19">
        <f>COUNTIF(D2, "myself")*C2</f>
        <v>0</v>
      </c>
    </row>
    <row r="3" spans="1:13" x14ac:dyDescent="0.3">
      <c r="A3" s="4">
        <v>2</v>
      </c>
      <c r="B3" s="5" t="s">
        <v>6</v>
      </c>
      <c r="C3" s="6">
        <v>10</v>
      </c>
      <c r="D3" s="6" t="s">
        <v>5</v>
      </c>
      <c r="E3" s="6">
        <f t="shared" ref="E3:E16" si="0">COUNTIF(D3,"food") *C3</f>
        <v>10</v>
      </c>
      <c r="F3" s="6">
        <f t="shared" ref="F3:F16" si="1">COUNTIF(D3,"stationary") *C3</f>
        <v>0</v>
      </c>
      <c r="G3" s="6">
        <f t="shared" ref="G3:G16" si="2">COUNTIF(D3,"friends") *C3</f>
        <v>0</v>
      </c>
      <c r="H3" s="6">
        <f t="shared" ref="H3:H16" si="3">COUNTIF(D3,"health")*C3</f>
        <v>0</v>
      </c>
      <c r="I3" s="19">
        <f t="shared" ref="I3:I16" si="4">COUNTIF(D3, "myself")*C3</f>
        <v>0</v>
      </c>
    </row>
    <row r="4" spans="1:13" x14ac:dyDescent="0.3">
      <c r="A4" s="4">
        <v>3</v>
      </c>
      <c r="B4" s="5" t="s">
        <v>7</v>
      </c>
      <c r="C4" s="6">
        <v>20</v>
      </c>
      <c r="D4" s="6" t="s">
        <v>8</v>
      </c>
      <c r="E4" s="6">
        <f t="shared" si="0"/>
        <v>0</v>
      </c>
      <c r="F4" s="6">
        <f t="shared" si="1"/>
        <v>20</v>
      </c>
      <c r="G4" s="6">
        <f t="shared" si="2"/>
        <v>0</v>
      </c>
      <c r="H4" s="6">
        <f t="shared" si="3"/>
        <v>0</v>
      </c>
      <c r="I4" s="19">
        <f t="shared" si="4"/>
        <v>0</v>
      </c>
    </row>
    <row r="5" spans="1:13" x14ac:dyDescent="0.3">
      <c r="A5" s="4">
        <v>4</v>
      </c>
      <c r="B5" s="5" t="s">
        <v>9</v>
      </c>
      <c r="C5" s="6">
        <v>70</v>
      </c>
      <c r="D5" s="6" t="s">
        <v>5</v>
      </c>
      <c r="E5" s="6">
        <f t="shared" si="0"/>
        <v>70</v>
      </c>
      <c r="F5" s="6">
        <f t="shared" si="1"/>
        <v>0</v>
      </c>
      <c r="G5" s="6">
        <f t="shared" si="2"/>
        <v>0</v>
      </c>
      <c r="H5" s="6">
        <f t="shared" si="3"/>
        <v>0</v>
      </c>
      <c r="I5" s="19">
        <f t="shared" si="4"/>
        <v>0</v>
      </c>
    </row>
    <row r="6" spans="1:13" x14ac:dyDescent="0.3">
      <c r="A6" s="4">
        <v>5</v>
      </c>
      <c r="B6" s="5" t="s">
        <v>10</v>
      </c>
      <c r="C6" s="6">
        <v>40</v>
      </c>
      <c r="D6" s="6" t="s">
        <v>5</v>
      </c>
      <c r="E6" s="6">
        <f t="shared" si="0"/>
        <v>40</v>
      </c>
      <c r="F6" s="6">
        <f t="shared" si="1"/>
        <v>0</v>
      </c>
      <c r="G6" s="6">
        <f t="shared" si="2"/>
        <v>0</v>
      </c>
      <c r="H6" s="6">
        <f t="shared" si="3"/>
        <v>0</v>
      </c>
      <c r="I6" s="19">
        <f t="shared" si="4"/>
        <v>0</v>
      </c>
    </row>
    <row r="7" spans="1:13" x14ac:dyDescent="0.3">
      <c r="A7" s="4">
        <v>6</v>
      </c>
      <c r="B7" s="5" t="s">
        <v>11</v>
      </c>
      <c r="C7" s="6">
        <v>200</v>
      </c>
      <c r="D7" s="6" t="s">
        <v>12</v>
      </c>
      <c r="E7" s="6">
        <f t="shared" si="0"/>
        <v>0</v>
      </c>
      <c r="F7" s="6">
        <f t="shared" si="1"/>
        <v>0</v>
      </c>
      <c r="G7" s="6">
        <f t="shared" si="2"/>
        <v>200</v>
      </c>
      <c r="H7" s="6">
        <f t="shared" si="3"/>
        <v>0</v>
      </c>
      <c r="I7" s="19">
        <f t="shared" si="4"/>
        <v>0</v>
      </c>
    </row>
    <row r="8" spans="1:13" x14ac:dyDescent="0.3">
      <c r="A8" s="4">
        <v>7</v>
      </c>
      <c r="B8" s="5" t="s">
        <v>13</v>
      </c>
      <c r="C8" s="6">
        <v>50</v>
      </c>
      <c r="D8" s="6" t="s">
        <v>5</v>
      </c>
      <c r="E8" s="6">
        <f t="shared" si="0"/>
        <v>50</v>
      </c>
      <c r="F8" s="6">
        <f t="shared" si="1"/>
        <v>0</v>
      </c>
      <c r="G8" s="6">
        <f t="shared" si="2"/>
        <v>0</v>
      </c>
      <c r="H8" s="6">
        <f t="shared" si="3"/>
        <v>0</v>
      </c>
      <c r="I8" s="19">
        <f t="shared" si="4"/>
        <v>0</v>
      </c>
    </row>
    <row r="9" spans="1:13" x14ac:dyDescent="0.3">
      <c r="A9" s="4">
        <v>8</v>
      </c>
      <c r="B9" s="5" t="s">
        <v>14</v>
      </c>
      <c r="C9" s="6">
        <v>40</v>
      </c>
      <c r="D9" s="6" t="s">
        <v>15</v>
      </c>
      <c r="E9" s="6">
        <f t="shared" si="0"/>
        <v>0</v>
      </c>
      <c r="F9" s="6">
        <f t="shared" si="1"/>
        <v>0</v>
      </c>
      <c r="G9" s="6">
        <f t="shared" si="2"/>
        <v>0</v>
      </c>
      <c r="H9" s="6">
        <f t="shared" si="3"/>
        <v>40</v>
      </c>
      <c r="I9" s="19">
        <f t="shared" si="4"/>
        <v>0</v>
      </c>
    </row>
    <row r="10" spans="1:13" x14ac:dyDescent="0.3">
      <c r="A10" s="4">
        <v>9</v>
      </c>
      <c r="B10" s="5" t="s">
        <v>16</v>
      </c>
      <c r="C10" s="6">
        <v>250</v>
      </c>
      <c r="D10" s="6" t="s">
        <v>17</v>
      </c>
      <c r="E10" s="6">
        <f t="shared" si="0"/>
        <v>0</v>
      </c>
      <c r="F10" s="6">
        <f t="shared" si="1"/>
        <v>0</v>
      </c>
      <c r="G10" s="6">
        <f t="shared" si="2"/>
        <v>0</v>
      </c>
      <c r="H10" s="6">
        <f t="shared" si="3"/>
        <v>0</v>
      </c>
      <c r="I10" s="19">
        <f t="shared" si="4"/>
        <v>250</v>
      </c>
    </row>
    <row r="11" spans="1:13" x14ac:dyDescent="0.3">
      <c r="A11" s="4">
        <v>10</v>
      </c>
      <c r="B11" s="5" t="s">
        <v>18</v>
      </c>
      <c r="C11" s="6">
        <v>1000</v>
      </c>
      <c r="D11" s="6" t="s">
        <v>17</v>
      </c>
      <c r="E11" s="6">
        <f t="shared" si="0"/>
        <v>0</v>
      </c>
      <c r="F11" s="6">
        <f t="shared" si="1"/>
        <v>0</v>
      </c>
      <c r="G11" s="6">
        <f t="shared" si="2"/>
        <v>0</v>
      </c>
      <c r="H11" s="6">
        <f t="shared" si="3"/>
        <v>0</v>
      </c>
      <c r="I11" s="19">
        <f t="shared" si="4"/>
        <v>1000</v>
      </c>
    </row>
    <row r="12" spans="1:13" x14ac:dyDescent="0.3">
      <c r="A12" s="4">
        <v>11</v>
      </c>
      <c r="B12" s="5" t="s">
        <v>19</v>
      </c>
      <c r="C12" s="6">
        <v>1200</v>
      </c>
      <c r="D12" s="6" t="s">
        <v>17</v>
      </c>
      <c r="E12" s="6">
        <f t="shared" si="0"/>
        <v>0</v>
      </c>
      <c r="F12" s="6">
        <f t="shared" si="1"/>
        <v>0</v>
      </c>
      <c r="G12" s="6">
        <f t="shared" si="2"/>
        <v>0</v>
      </c>
      <c r="H12" s="6">
        <f t="shared" si="3"/>
        <v>0</v>
      </c>
      <c r="I12" s="19">
        <f t="shared" si="4"/>
        <v>1200</v>
      </c>
    </row>
    <row r="13" spans="1:13" ht="15" thickBot="1" x14ac:dyDescent="0.35">
      <c r="A13" s="4">
        <v>12</v>
      </c>
      <c r="B13" s="5" t="s">
        <v>20</v>
      </c>
      <c r="C13" s="6">
        <v>50</v>
      </c>
      <c r="D13" s="6" t="s">
        <v>15</v>
      </c>
      <c r="E13" s="6">
        <f t="shared" si="0"/>
        <v>0</v>
      </c>
      <c r="F13" s="6">
        <f t="shared" si="1"/>
        <v>0</v>
      </c>
      <c r="G13" s="6">
        <f t="shared" si="2"/>
        <v>0</v>
      </c>
      <c r="H13" s="6">
        <f t="shared" si="3"/>
        <v>50</v>
      </c>
      <c r="I13" s="19">
        <f t="shared" si="4"/>
        <v>0</v>
      </c>
    </row>
    <row r="14" spans="1:13" x14ac:dyDescent="0.3">
      <c r="A14" s="4">
        <v>13</v>
      </c>
      <c r="B14" s="5" t="s">
        <v>21</v>
      </c>
      <c r="C14" s="6">
        <v>100</v>
      </c>
      <c r="D14" s="6" t="s">
        <v>12</v>
      </c>
      <c r="E14" s="6">
        <f t="shared" si="0"/>
        <v>0</v>
      </c>
      <c r="F14" s="6">
        <f t="shared" si="1"/>
        <v>0</v>
      </c>
      <c r="G14" s="6">
        <f t="shared" si="2"/>
        <v>100</v>
      </c>
      <c r="H14" s="6">
        <f t="shared" si="3"/>
        <v>0</v>
      </c>
      <c r="I14" s="19">
        <f t="shared" si="4"/>
        <v>0</v>
      </c>
      <c r="L14" s="21" t="s">
        <v>24</v>
      </c>
      <c r="M14" s="11">
        <f>SUM(C2:C16)</f>
        <v>3445</v>
      </c>
    </row>
    <row r="15" spans="1:13" x14ac:dyDescent="0.3">
      <c r="A15" s="4">
        <v>14</v>
      </c>
      <c r="B15" s="5" t="s">
        <v>22</v>
      </c>
      <c r="C15" s="6">
        <v>300</v>
      </c>
      <c r="D15" s="6" t="s">
        <v>8</v>
      </c>
      <c r="E15" s="6">
        <f t="shared" si="0"/>
        <v>0</v>
      </c>
      <c r="F15" s="6">
        <f t="shared" si="1"/>
        <v>300</v>
      </c>
      <c r="G15" s="6">
        <f t="shared" si="2"/>
        <v>0</v>
      </c>
      <c r="H15" s="6">
        <f t="shared" si="3"/>
        <v>0</v>
      </c>
      <c r="I15" s="19">
        <f t="shared" si="4"/>
        <v>0</v>
      </c>
      <c r="L15" s="12" t="s">
        <v>25</v>
      </c>
      <c r="M15" s="13">
        <f>AVERAGE(C2:C16)</f>
        <v>229.66666666666666</v>
      </c>
    </row>
    <row r="16" spans="1:13" ht="15" thickBot="1" x14ac:dyDescent="0.35">
      <c r="A16" s="7">
        <v>15</v>
      </c>
      <c r="B16" s="8" t="s">
        <v>23</v>
      </c>
      <c r="C16" s="9">
        <v>100</v>
      </c>
      <c r="D16" s="9" t="s">
        <v>5</v>
      </c>
      <c r="E16" s="9">
        <f t="shared" si="0"/>
        <v>100</v>
      </c>
      <c r="F16" s="9">
        <f t="shared" si="1"/>
        <v>0</v>
      </c>
      <c r="G16" s="9">
        <f t="shared" si="2"/>
        <v>0</v>
      </c>
      <c r="H16" s="9">
        <f t="shared" si="3"/>
        <v>0</v>
      </c>
      <c r="I16" s="20">
        <f t="shared" si="4"/>
        <v>0</v>
      </c>
      <c r="L16" s="12" t="s">
        <v>26</v>
      </c>
      <c r="M16" s="13">
        <f>SUM(E2:E16)</f>
        <v>285</v>
      </c>
    </row>
    <row r="17" spans="10:13" x14ac:dyDescent="0.3">
      <c r="L17" s="12" t="s">
        <v>27</v>
      </c>
      <c r="M17" s="13">
        <f>SUM(F2:F17)</f>
        <v>320</v>
      </c>
    </row>
    <row r="18" spans="10:13" x14ac:dyDescent="0.3">
      <c r="L18" s="12" t="s">
        <v>28</v>
      </c>
      <c r="M18" s="13">
        <f>SUM(G2:G16)</f>
        <v>300</v>
      </c>
    </row>
    <row r="19" spans="10:13" x14ac:dyDescent="0.3">
      <c r="L19" s="14" t="s">
        <v>29</v>
      </c>
      <c r="M19" s="15">
        <f>SUM(H2:H16)</f>
        <v>90</v>
      </c>
    </row>
    <row r="20" spans="10:13" x14ac:dyDescent="0.3">
      <c r="L20" s="16" t="s">
        <v>30</v>
      </c>
      <c r="M20" s="17">
        <f>SUM(I2:I16)</f>
        <v>2450</v>
      </c>
    </row>
    <row r="22" spans="10:13" x14ac:dyDescent="0.3">
      <c r="J2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jinesha jain</dc:creator>
  <cp:lastModifiedBy>jinesha jain</cp:lastModifiedBy>
  <dcterms:created xsi:type="dcterms:W3CDTF">2026-01-17T12:22:26Z</dcterms:created>
  <dcterms:modified xsi:type="dcterms:W3CDTF">2026-01-17T13:14:48Z</dcterms:modified>
</cp:coreProperties>
</file>